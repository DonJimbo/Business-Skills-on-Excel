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verisgroup-my.sharepoint.com/personal/jrodriji_emeal_nttdata_com/Documents/Extra Nttdata/Learning/Business Skills on Excel/Intermediate 2/Week 6/"/>
    </mc:Choice>
  </mc:AlternateContent>
  <xr:revisionPtr revIDLastSave="38" documentId="11_DA0CE20CB29CAE2E53668678F3DE6B8C2D94D4A1" xr6:coauthVersionLast="47" xr6:coauthVersionMax="47" xr10:uidLastSave="{C7869A0C-6B72-4C49-9890-62C52CBA25C3}"/>
  <bookViews>
    <workbookView xWindow="765" yWindow="-15870" windowWidth="25440" windowHeight="15990" tabRatio="869" activeTab="2" xr2:uid="{00000000-000D-0000-FFFF-FFFF00000000}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Invoice Example 1" sheetId="25" r:id="rId6"/>
    <sheet name="Invoice Example 2" sheetId="26" r:id="rId7"/>
  </sheets>
  <definedNames>
    <definedName name="Customer_Name">Table!$C$2:$C$9</definedName>
    <definedName name="Date">Table!$B$2:$B$9</definedName>
    <definedName name="Discount">Table!$G$2:$G$9</definedName>
    <definedName name="Fee_per_hour">Table!$E$2:$E$9</definedName>
    <definedName name="Hours_of_Service_Provided">Table!$D$2:$D$9</definedName>
    <definedName name="Invoice_Number">Table!$A$2:$A$9</definedName>
    <definedName name="Total">Table!$F$2:$F$9</definedName>
    <definedName name="Total_Amount_Due">Table!$H$2:$H$9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4" l="1"/>
  <c r="A9" i="23"/>
  <c r="F9" i="23"/>
  <c r="G9" i="23"/>
  <c r="H9" i="23" s="1"/>
  <c r="F8" i="23"/>
  <c r="G8" i="23"/>
  <c r="F7" i="23"/>
  <c r="F6" i="23"/>
  <c r="G6" i="23" s="1"/>
  <c r="F5" i="23"/>
  <c r="G5" i="23" s="1"/>
  <c r="A4" i="23"/>
  <c r="F4" i="23"/>
  <c r="G4" i="23" s="1"/>
  <c r="H8" i="23" l="1"/>
  <c r="G7" i="23"/>
  <c r="H7" i="23" s="1"/>
  <c r="A5" i="23"/>
  <c r="H6" i="23"/>
  <c r="H5" i="23"/>
  <c r="H4" i="23"/>
  <c r="G3" i="23"/>
  <c r="F2" i="23"/>
  <c r="F3" i="23"/>
  <c r="A6" i="23" l="1"/>
  <c r="G2" i="23"/>
  <c r="H3" i="23"/>
  <c r="B1" i="1"/>
  <c r="A7" i="23" l="1"/>
  <c r="B2" i="25"/>
  <c r="B4" i="25"/>
  <c r="C15" i="25"/>
  <c r="C14" i="25"/>
  <c r="H2" i="23"/>
  <c r="J2" i="23"/>
  <c r="A8" i="23" l="1"/>
  <c r="B7" i="25"/>
  <c r="B7" i="24"/>
  <c r="B4" i="26"/>
  <c r="C15" i="26"/>
  <c r="C14" i="24"/>
  <c r="C7" i="24"/>
  <c r="C7" i="25"/>
  <c r="C7" i="26"/>
  <c r="B2" i="26"/>
  <c r="A7" i="25"/>
  <c r="A7" i="26"/>
  <c r="C16" i="25"/>
  <c r="A7" i="24"/>
  <c r="C14" i="26" l="1"/>
  <c r="B4" i="24"/>
  <c r="C15" i="24"/>
  <c r="B7" i="26"/>
  <c r="C16" i="26"/>
  <c r="C16" i="24"/>
</calcChain>
</file>

<file path=xl/sharedStrings.xml><?xml version="1.0" encoding="utf-8"?>
<sst xmlns="http://schemas.openxmlformats.org/spreadsheetml/2006/main" count="94" uniqueCount="61">
  <si>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</si>
  <si>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</si>
  <si>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</si>
  <si>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</si>
  <si>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</si>
  <si>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</si>
  <si>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</si>
  <si>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</si>
  <si>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</si>
  <si>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</si>
  <si>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</si>
  <si>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</si>
  <si>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</si>
  <si>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</si>
  <si>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</si>
  <si>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</si>
  <si>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</si>
  <si>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</si>
  <si>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</si>
  <si>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</si>
  <si>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</si>
  <si>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</si>
  <si>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</si>
  <si>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</si>
  <si>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</si>
  <si>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</si>
  <si>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</si>
  <si>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</si>
  <si>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</si>
  <si>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</si>
  <si>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</si>
  <si>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</si>
  <si>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</si>
  <si>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</si>
  <si>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</si>
  <si>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</si>
  <si>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</si>
  <si>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</si>
  <si>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</si>
  <si>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</si>
  <si>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</si>
  <si>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</si>
  <si>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</si>
  <si>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</si>
  <si>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</si>
  <si>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</si>
  <si>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</si>
  <si>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</si>
  <si>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</si>
  <si>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</si>
  <si>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</si>
  <si>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</si>
  <si>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</si>
  <si>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</si>
  <si>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</si>
  <si>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</si>
  <si>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</si>
  <si>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</si>
  <si>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t>Rod Ltd</t>
  </si>
  <si>
    <t>Loil Pty Ldt</t>
  </si>
  <si>
    <t>Jaime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</si>
</sst>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yyyy/mm/dd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67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13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2" xfId="0" applyFont="1" applyFill="1" applyBorder="1"/>
    <xf numFmtId="0" fontId="13" fillId="0" borderId="10" xfId="0" applyFont="1" applyBorder="1"/>
    <xf numFmtId="0" fontId="13" fillId="4" borderId="10" xfId="0" applyFont="1" applyFill="1" applyBorder="1"/>
    <xf numFmtId="0" fontId="15" fillId="0" borderId="13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11" xfId="1" applyFont="1" applyBorder="1"/>
    <xf numFmtId="164" fontId="15" fillId="0" borderId="12" xfId="1" applyFont="1" applyBorder="1"/>
    <xf numFmtId="164" fontId="0" fillId="0" borderId="10" xfId="1" applyFont="1" applyBorder="1"/>
    <xf numFmtId="16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5" fillId="0" borderId="14" xfId="0" applyFont="1" applyBorder="1"/>
    <xf numFmtId="165" fontId="15" fillId="0" borderId="1" xfId="0" applyNumberFormat="1" applyFont="1" applyBorder="1"/>
    <xf numFmtId="164" fontId="15" fillId="0" borderId="1" xfId="1" applyNumberFormat="1" applyFont="1" applyBorder="1"/>
    <xf numFmtId="164" fontId="15" fillId="0" borderId="15" xfId="1" applyNumberFormat="1" applyFont="1" applyBorder="1"/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yyyy/mm/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yyyy/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4</xdr:row>
      <xdr:rowOff>152400</xdr:rowOff>
    </xdr:from>
    <xdr:to>
      <xdr:col>8</xdr:col>
      <xdr:colOff>137160</xdr:colOff>
      <xdr:row>6</xdr:row>
      <xdr:rowOff>30480</xdr:rowOff>
    </xdr:to>
    <xdr:sp macro="[0]!Transf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B6E171-50E0-4176-B566-441058B2C3CE}"/>
            </a:ext>
          </a:extLst>
        </xdr:cNvPr>
        <xdr:cNvSpPr/>
      </xdr:nvSpPr>
      <xdr:spPr>
        <a:xfrm>
          <a:off x="5471160" y="1165860"/>
          <a:ext cx="190500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Transfer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213360</xdr:colOff>
      <xdr:row>3</xdr:row>
      <xdr:rowOff>99060</xdr:rowOff>
    </xdr:from>
    <xdr:to>
      <xdr:col>10</xdr:col>
      <xdr:colOff>556260</xdr:colOff>
      <xdr:row>4</xdr:row>
      <xdr:rowOff>190500</xdr:rowOff>
    </xdr:to>
    <xdr:sp macro="[0]!Issue_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A81DE6-5D01-49CA-B24E-6C79B697D8E4}"/>
            </a:ext>
          </a:extLst>
        </xdr:cNvPr>
        <xdr:cNvSpPr/>
      </xdr:nvSpPr>
      <xdr:spPr>
        <a:xfrm>
          <a:off x="11163300" y="891540"/>
          <a:ext cx="1676400" cy="35814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Issue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s" displayName="Invoices" ref="A1:H9" totalsRowShown="0" headerRowDxfId="17" dataDxfId="16" dataCellStyle="Currency">
  <autoFilter ref="A1:H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000-000001000000}" name="Invoice Number" dataDxfId="15" totalsRowDxfId="7"/>
    <tableColumn id="2" xr3:uid="{00000000-0010-0000-0000-000002000000}" name="Date" dataDxfId="14" totalsRowDxfId="6"/>
    <tableColumn id="3" xr3:uid="{00000000-0010-0000-0000-000003000000}" name="Customer Name" dataDxfId="10" totalsRowDxfId="5"/>
    <tableColumn id="4" xr3:uid="{00000000-0010-0000-0000-000004000000}" name="Hours of Service Provided" dataDxfId="9" totalsRowDxfId="4" dataCellStyle="Currency"/>
    <tableColumn id="5" xr3:uid="{00000000-0010-0000-0000-000005000000}" name="Fee per hour" dataDxfId="8" totalsRowDxfId="3" dataCellStyle="Currency" totalsRowCellStyle="Currency"/>
    <tableColumn id="6" xr3:uid="{00000000-0010-0000-0000-000006000000}" name="Total" dataDxfId="13" totalsRowDxfId="2" dataCellStyle="Currency">
      <calculatedColumnFormula>Invoices[[#This Row],[Hours of Service Provided]]*Invoices[[#This Row],[Fee per hour]]</calculatedColumnFormula>
    </tableColumn>
    <tableColumn id="7" xr3:uid="{00000000-0010-0000-0000-000007000000}" name="Discount" dataDxfId="12" totalsRowDxfId="1" dataCellStyle="Currency">
      <calculatedColumnFormula>IF(Invoices[[#This Row],[Hours of Service Provided]]&gt;10,Invoices[[#This Row],[Total]]*5%,0)</calculatedColumnFormula>
    </tableColumn>
    <tableColumn id="8" xr3:uid="{00000000-0010-0000-0000-000008000000}" name="Total Amount Due" dataDxfId="11" totalsRowDxfId="0" dataCellStyle="Currency">
      <calculatedColumnFormula>Invoices[[#This Row],[Total]]-Invoices[[#This Row],[Discount]]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6"/>
  <sheetViews>
    <sheetView topLeftCell="A4" zoomScaleNormal="100" workbookViewId="0">
      <selection activeCell="K17" sqref="K17"/>
    </sheetView>
  </sheetViews>
  <sheetFormatPr defaultColWidth="9.88671875" defaultRowHeight="14.4"/>
  <cols>
    <col min="1" max="1" width="9.88671875" style="35"/>
    <col min="2" max="2" width="12.109375" style="35" customWidth="1"/>
    <col min="3" max="3" width="15.44140625" style="35" bestFit="1" customWidth="1"/>
    <col min="4" max="4" width="23.77734375" style="35" customWidth="1"/>
    <col min="5" max="5" width="12.6640625" style="35" customWidth="1"/>
    <col min="6" max="7" width="9.88671875" style="35"/>
    <col min="8" max="11" width="12.33203125" style="35" customWidth="1"/>
    <col min="12" max="12" width="39.5546875" style="35" customWidth="1"/>
    <col min="13" max="15" width="12.33203125" style="35" customWidth="1"/>
    <col min="16" max="16384" width="9.88671875" style="35"/>
  </cols>
  <sheetData>
    <row r="1" spans="1:15">
      <c r="G1" s="36"/>
    </row>
    <row r="2" spans="1:15" ht="34.799999999999997">
      <c r="G2" s="52" t="s">
        <v>13</v>
      </c>
      <c r="H2" s="53"/>
      <c r="I2" s="53"/>
      <c r="J2" s="53"/>
      <c r="K2" s="53"/>
      <c r="L2" s="53"/>
      <c r="M2" s="53"/>
      <c r="N2" s="53"/>
      <c r="O2" s="53"/>
    </row>
    <row r="3" spans="1:15">
      <c r="G3" s="36"/>
    </row>
    <row r="4" spans="1:15" ht="30">
      <c r="G4" s="54" t="s">
        <v>14</v>
      </c>
      <c r="H4" s="55"/>
      <c r="I4" s="55"/>
      <c r="J4" s="55"/>
      <c r="K4" s="55"/>
      <c r="L4" s="55"/>
      <c r="M4" s="55"/>
      <c r="N4" s="55"/>
      <c r="O4" s="55"/>
    </row>
    <row r="5" spans="1:15" ht="15" thickBot="1">
      <c r="G5" s="36"/>
    </row>
    <row r="6" spans="1:15" ht="31.8" thickBot="1">
      <c r="G6" s="36"/>
      <c r="H6" s="56" t="s">
        <v>12</v>
      </c>
      <c r="I6" s="57"/>
      <c r="J6" s="57"/>
      <c r="K6" s="57"/>
      <c r="L6" s="57"/>
      <c r="M6" s="57"/>
      <c r="N6" s="58"/>
      <c r="O6" s="37"/>
    </row>
    <row r="7" spans="1:15" s="38" customFormat="1"/>
    <row r="8" spans="1:15" s="38" customFormat="1"/>
    <row r="9" spans="1:15" s="38" customFormat="1"/>
    <row r="10" spans="1:15" ht="18" thickBot="1">
      <c r="A10" s="39" t="s">
        <v>15</v>
      </c>
      <c r="B10" s="39"/>
      <c r="C10" s="39"/>
      <c r="D10" s="39"/>
      <c r="E10" s="39"/>
      <c r="F10" s="39"/>
      <c r="G10" s="37"/>
      <c r="H10" s="38"/>
      <c r="I10" s="38"/>
      <c r="J10" s="38"/>
      <c r="K10" s="38"/>
      <c r="L10" s="38"/>
      <c r="M10" s="38"/>
      <c r="N10" s="38"/>
      <c r="O10" s="38"/>
    </row>
    <row r="11" spans="1:15" ht="12.6" customHeight="1" thickTop="1">
      <c r="A11" s="40"/>
      <c r="B11" s="40"/>
      <c r="C11" s="40"/>
      <c r="D11" s="40"/>
      <c r="E11" s="40"/>
      <c r="F11" s="40"/>
      <c r="G11" s="40"/>
      <c r="H11" s="38"/>
      <c r="I11" s="38"/>
      <c r="J11" s="38"/>
      <c r="K11" s="38"/>
      <c r="L11" s="38"/>
      <c r="M11" s="38"/>
      <c r="N11" s="38"/>
      <c r="O11" s="38"/>
    </row>
    <row r="12" spans="1:15" ht="63.6" customHeight="1">
      <c r="A12" s="59" t="s">
        <v>55</v>
      </c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</row>
    <row r="13" spans="1:15" s="38" customFormat="1" ht="9" customHeight="1"/>
    <row r="14" spans="1:15" s="38" customFormat="1" ht="5.4" customHeight="1"/>
    <row r="15" spans="1:15" ht="18" thickBot="1">
      <c r="A15" s="39" t="s">
        <v>11</v>
      </c>
      <c r="B15" s="39"/>
      <c r="C15" s="39"/>
      <c r="D15" s="39"/>
      <c r="E15" s="39"/>
      <c r="F15" s="39"/>
      <c r="G15" s="37"/>
      <c r="H15" s="41"/>
      <c r="L15" s="42"/>
    </row>
    <row r="16" spans="1:15" ht="10.5" customHeight="1" thickTop="1">
      <c r="A16" s="40"/>
      <c r="B16" s="40"/>
      <c r="C16" s="40"/>
      <c r="D16" s="40"/>
      <c r="E16" s="40"/>
      <c r="F16" s="40"/>
      <c r="G16" s="40"/>
      <c r="H16" s="41"/>
    </row>
    <row r="17" spans="1:2" s="38" customFormat="1">
      <c r="A17" s="38" t="s">
        <v>39</v>
      </c>
    </row>
    <row r="18" spans="1:2" s="38" customFormat="1"/>
    <row r="19" spans="1:2" s="38" customFormat="1">
      <c r="A19" s="38" t="s">
        <v>42</v>
      </c>
    </row>
    <row r="20" spans="1:2" s="38" customFormat="1">
      <c r="A20" s="35" t="s">
        <v>41</v>
      </c>
    </row>
    <row r="21" spans="1:2" s="38" customFormat="1">
      <c r="A21" s="38" t="s">
        <v>40</v>
      </c>
    </row>
    <row r="22" spans="1:2" s="38" customFormat="1"/>
    <row r="23" spans="1:2" s="38" customFormat="1"/>
    <row r="24" spans="1:2" s="38" customFormat="1">
      <c r="A24" s="38" t="s">
        <v>43</v>
      </c>
    </row>
    <row r="25" spans="1:2" s="38" customFormat="1"/>
    <row r="26" spans="1:2">
      <c r="A26" s="35">
        <v>1</v>
      </c>
      <c r="B26" s="43" t="s">
        <v>57</v>
      </c>
    </row>
    <row r="27" spans="1:2">
      <c r="A27" s="35">
        <v>2</v>
      </c>
      <c r="B27" s="43" t="s">
        <v>45</v>
      </c>
    </row>
    <row r="28" spans="1:2">
      <c r="A28" s="35">
        <v>3</v>
      </c>
      <c r="B28" s="43" t="s">
        <v>56</v>
      </c>
    </row>
    <row r="29" spans="1:2">
      <c r="A29" s="35">
        <v>4</v>
      </c>
      <c r="B29" s="43" t="s">
        <v>48</v>
      </c>
    </row>
    <row r="30" spans="1:2">
      <c r="A30" s="35">
        <v>5</v>
      </c>
      <c r="B30" s="43" t="s">
        <v>54</v>
      </c>
    </row>
    <row r="31" spans="1:2">
      <c r="A31" s="35">
        <v>6</v>
      </c>
      <c r="B31" s="43" t="s">
        <v>46</v>
      </c>
    </row>
    <row r="32" spans="1:2">
      <c r="A32" s="35">
        <v>7</v>
      </c>
      <c r="B32" s="43" t="s">
        <v>47</v>
      </c>
    </row>
    <row r="33" spans="1:5">
      <c r="A33" s="35">
        <v>8</v>
      </c>
      <c r="B33" s="43" t="s">
        <v>53</v>
      </c>
    </row>
    <row r="34" spans="1:5">
      <c r="A34" s="35">
        <v>9</v>
      </c>
      <c r="B34" s="43" t="s">
        <v>49</v>
      </c>
    </row>
    <row r="35" spans="1:5">
      <c r="A35" s="35">
        <v>10</v>
      </c>
      <c r="B35" s="43" t="s">
        <v>50</v>
      </c>
    </row>
    <row r="36" spans="1:5">
      <c r="A36" s="44"/>
    </row>
    <row r="37" spans="1:5">
      <c r="A37" s="44"/>
      <c r="B37" s="45" t="s">
        <v>16</v>
      </c>
      <c r="C37" s="45" t="s">
        <v>17</v>
      </c>
      <c r="D37" s="45" t="s">
        <v>28</v>
      </c>
      <c r="E37" s="45" t="s">
        <v>29</v>
      </c>
    </row>
    <row r="38" spans="1:5">
      <c r="A38" s="44"/>
      <c r="B38" s="46">
        <v>42592</v>
      </c>
      <c r="C38" s="47" t="s">
        <v>34</v>
      </c>
      <c r="D38" s="48">
        <v>30</v>
      </c>
      <c r="E38" s="49">
        <v>55</v>
      </c>
    </row>
    <row r="39" spans="1:5">
      <c r="A39" s="44"/>
      <c r="B39" s="46">
        <v>42603</v>
      </c>
      <c r="C39" s="47" t="s">
        <v>35</v>
      </c>
      <c r="D39" s="48">
        <v>60</v>
      </c>
      <c r="E39" s="49">
        <v>52</v>
      </c>
    </row>
    <row r="40" spans="1:5">
      <c r="A40" s="44"/>
      <c r="B40" s="46">
        <v>42611</v>
      </c>
      <c r="C40" s="47" t="s">
        <v>36</v>
      </c>
      <c r="D40" s="48">
        <v>20</v>
      </c>
      <c r="E40" s="49">
        <v>54</v>
      </c>
    </row>
    <row r="41" spans="1:5">
      <c r="B41" s="50">
        <v>42614</v>
      </c>
      <c r="C41" s="47" t="s">
        <v>37</v>
      </c>
      <c r="D41" s="48">
        <v>9</v>
      </c>
      <c r="E41" s="49">
        <v>51</v>
      </c>
    </row>
    <row r="42" spans="1:5" s="38" customFormat="1"/>
    <row r="43" spans="1:5" s="38" customFormat="1">
      <c r="A43" s="38">
        <v>11</v>
      </c>
      <c r="B43" s="43" t="s">
        <v>51</v>
      </c>
    </row>
    <row r="44" spans="1:5" s="38" customFormat="1">
      <c r="A44" s="38">
        <v>12</v>
      </c>
      <c r="B44" s="43" t="s">
        <v>52</v>
      </c>
    </row>
    <row r="45" spans="1:5" s="38" customFormat="1"/>
    <row r="46" spans="1:5" s="38" customFormat="1">
      <c r="A46" s="38" t="s">
        <v>10</v>
      </c>
    </row>
    <row r="47" spans="1:5" s="38" customFormat="1"/>
    <row r="50" spans="1:1">
      <c r="A50" s="51"/>
    </row>
    <row r="51" spans="1:1">
      <c r="A51" s="44"/>
    </row>
    <row r="52" spans="1:1">
      <c r="A52" s="44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09375" defaultRowHeight="14.4"/>
  <cols>
    <col min="1" max="1" width="29.5546875" style="2" bestFit="1" customWidth="1"/>
    <col min="2" max="2" width="23.109375" style="2" bestFit="1" customWidth="1"/>
    <col min="3" max="6" width="9.109375" style="2"/>
    <col min="7" max="7" width="10.88671875" style="2" customWidth="1"/>
    <col min="8" max="8" width="10.5546875" style="2" customWidth="1"/>
    <col min="9" max="16384" width="9.109375" style="2"/>
  </cols>
  <sheetData>
    <row r="1" spans="1:8" ht="46.2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79998168889431442"/>
  </sheetPr>
  <dimension ref="B2:C15"/>
  <sheetViews>
    <sheetView tabSelected="1" zoomScaleNormal="100" workbookViewId="0">
      <selection activeCell="I27" sqref="I27"/>
    </sheetView>
  </sheetViews>
  <sheetFormatPr defaultRowHeight="14.4"/>
  <cols>
    <col min="2" max="2" width="34.5546875" bestFit="1" customWidth="1"/>
    <col min="3" max="3" width="17.6640625" customWidth="1"/>
  </cols>
  <sheetData>
    <row r="2" spans="2:3" ht="36.6">
      <c r="B2" s="60" t="s">
        <v>38</v>
      </c>
      <c r="C2" s="60"/>
    </row>
    <row r="5" spans="2:3" ht="21">
      <c r="B5" s="13" t="s">
        <v>16</v>
      </c>
      <c r="C5" s="14"/>
    </row>
    <row r="6" spans="2:3" ht="21">
      <c r="B6" s="15"/>
      <c r="C6" s="15"/>
    </row>
    <row r="7" spans="2:3" ht="21">
      <c r="B7" s="13" t="s">
        <v>17</v>
      </c>
      <c r="C7" s="16"/>
    </row>
    <row r="8" spans="2:3" ht="21">
      <c r="B8" s="13" t="s">
        <v>28</v>
      </c>
      <c r="C8" s="17"/>
    </row>
    <row r="9" spans="2:3" ht="21">
      <c r="B9" s="13" t="s">
        <v>29</v>
      </c>
      <c r="C9" s="18"/>
    </row>
    <row r="10" spans="2:3">
      <c r="C10" s="19"/>
    </row>
    <row r="11" spans="2:3">
      <c r="C11" s="19"/>
    </row>
    <row r="12" spans="2:3">
      <c r="C12" s="19"/>
    </row>
    <row r="13" spans="2:3">
      <c r="C13" s="19"/>
    </row>
    <row r="14" spans="2:3">
      <c r="C14" s="19"/>
    </row>
    <row r="15" spans="2: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0.79998168889431442"/>
  </sheetPr>
  <dimension ref="A1:J9"/>
  <sheetViews>
    <sheetView workbookViewId="0">
      <selection activeCell="I27" sqref="I27"/>
    </sheetView>
  </sheetViews>
  <sheetFormatPr defaultRowHeight="14.4"/>
  <cols>
    <col min="1" max="1" width="17.5546875" customWidth="1"/>
    <col min="2" max="2" width="14.44140625" bestFit="1" customWidth="1"/>
    <col min="3" max="3" width="23.109375" customWidth="1"/>
    <col min="4" max="4" width="24.44140625" customWidth="1"/>
    <col min="5" max="5" width="18.77734375" customWidth="1"/>
    <col min="6" max="6" width="14.5546875" bestFit="1" customWidth="1"/>
    <col min="7" max="7" width="13.77734375" customWidth="1"/>
    <col min="8" max="8" width="25.5546875" customWidth="1"/>
    <col min="10" max="10" width="19.44140625" bestFit="1" customWidth="1"/>
  </cols>
  <sheetData>
    <row r="1" spans="1:10" ht="21">
      <c r="A1" s="20" t="s">
        <v>30</v>
      </c>
      <c r="B1" s="21" t="s">
        <v>16</v>
      </c>
      <c r="C1" s="21" t="s">
        <v>17</v>
      </c>
      <c r="D1" s="22" t="s">
        <v>28</v>
      </c>
      <c r="E1" s="21" t="s">
        <v>29</v>
      </c>
      <c r="F1" s="23" t="s">
        <v>21</v>
      </c>
      <c r="G1" s="23" t="s">
        <v>31</v>
      </c>
      <c r="H1" s="24" t="s">
        <v>32</v>
      </c>
      <c r="I1" s="25"/>
      <c r="J1" s="26" t="s">
        <v>33</v>
      </c>
    </row>
    <row r="2" spans="1:10" ht="23.4">
      <c r="A2" s="27">
        <v>100</v>
      </c>
      <c r="B2" s="28">
        <v>42583</v>
      </c>
      <c r="C2" s="29" t="s">
        <v>22</v>
      </c>
      <c r="D2" s="29">
        <v>20</v>
      </c>
      <c r="E2" s="30">
        <v>50</v>
      </c>
      <c r="F2" s="30">
        <f>Invoices[[#This Row],[Hours of Service Provided]]*Invoices[[#This Row],[Fee per hour]]</f>
        <v>1000</v>
      </c>
      <c r="G2" s="30">
        <f>IF(Invoices[[#This Row],[Hours of Service Provided]]&gt;10,Invoices[[#This Row],[Total]]*5%,0)</f>
        <v>50</v>
      </c>
      <c r="H2" s="31">
        <f>Invoices[[#This Row],[Total]]-Invoices[[#This Row],[Discount]]</f>
        <v>950</v>
      </c>
      <c r="I2" s="32"/>
      <c r="J2" s="34">
        <f>SUM(Total_Amount_Due)</f>
        <v>8439.5</v>
      </c>
    </row>
    <row r="3" spans="1:10" ht="18">
      <c r="A3" s="27">
        <v>101</v>
      </c>
      <c r="B3" s="28">
        <v>42584</v>
      </c>
      <c r="C3" s="29" t="s">
        <v>35</v>
      </c>
      <c r="D3" s="29">
        <v>8</v>
      </c>
      <c r="E3" s="30">
        <v>51</v>
      </c>
      <c r="F3" s="30">
        <f>Invoices[[#This Row],[Hours of Service Provided]]*Invoices[[#This Row],[Fee per hour]]</f>
        <v>408</v>
      </c>
      <c r="G3" s="30">
        <f>IF(Invoices[[#This Row],[Hours of Service Provided]]&gt;10,Invoices[[#This Row],[Total]]*5%,0)</f>
        <v>0</v>
      </c>
      <c r="H3" s="31">
        <f>Invoices[[#This Row],[Total]]-Invoices[[#This Row],[Discount]]</f>
        <v>408</v>
      </c>
    </row>
    <row r="4" spans="1:10" ht="21">
      <c r="A4" s="27">
        <f>A3+1</f>
        <v>102</v>
      </c>
      <c r="B4" s="28">
        <v>42586</v>
      </c>
      <c r="C4" s="16" t="s">
        <v>58</v>
      </c>
      <c r="D4" s="17">
        <v>22</v>
      </c>
      <c r="E4" s="18">
        <v>50</v>
      </c>
      <c r="F4" s="30">
        <f>Invoices[[#This Row],[Hours of Service Provided]]*Invoices[[#This Row],[Fee per hour]]</f>
        <v>1100</v>
      </c>
      <c r="G4" s="30">
        <f>IF(Invoices[[#This Row],[Hours of Service Provided]]&gt;10,Invoices[[#This Row],[Total]]*5%,0)</f>
        <v>55</v>
      </c>
      <c r="H4" s="31">
        <f>Invoices[[#This Row],[Total]]-Invoices[[#This Row],[Discount]]</f>
        <v>1045</v>
      </c>
    </row>
    <row r="5" spans="1:10" ht="21">
      <c r="A5" s="27">
        <f>A4+1</f>
        <v>103</v>
      </c>
      <c r="B5" s="28">
        <v>42592</v>
      </c>
      <c r="C5" s="16" t="s">
        <v>59</v>
      </c>
      <c r="D5" s="17">
        <v>30</v>
      </c>
      <c r="E5" s="18">
        <v>55</v>
      </c>
      <c r="F5" s="30">
        <f>Invoices[[#This Row],[Hours of Service Provided]]*Invoices[[#This Row],[Fee per hour]]</f>
        <v>1650</v>
      </c>
      <c r="G5" s="30">
        <f>IF(Invoices[[#This Row],[Hours of Service Provided]]&gt;10,Invoices[[#This Row],[Total]]*5%,0)</f>
        <v>82.5</v>
      </c>
      <c r="H5" s="31">
        <f>Invoices[[#This Row],[Total]]-Invoices[[#This Row],[Discount]]</f>
        <v>1567.5</v>
      </c>
    </row>
    <row r="6" spans="1:10" ht="21">
      <c r="A6" s="27">
        <f>A5+1</f>
        <v>104</v>
      </c>
      <c r="B6" s="28">
        <v>42603</v>
      </c>
      <c r="C6" s="16" t="s">
        <v>35</v>
      </c>
      <c r="D6" s="17">
        <v>60</v>
      </c>
      <c r="E6" s="18">
        <v>52</v>
      </c>
      <c r="F6" s="30">
        <f>Invoices[[#This Row],[Hours of Service Provided]]*Invoices[[#This Row],[Fee per hour]]</f>
        <v>3120</v>
      </c>
      <c r="G6" s="30">
        <f>IF(Invoices[[#This Row],[Hours of Service Provided]]&gt;10,Invoices[[#This Row],[Total]]*5%,0)</f>
        <v>156</v>
      </c>
      <c r="H6" s="31">
        <f>Invoices[[#This Row],[Total]]-Invoices[[#This Row],[Discount]]</f>
        <v>2964</v>
      </c>
    </row>
    <row r="7" spans="1:10" ht="21">
      <c r="A7" s="27">
        <f>A6+1</f>
        <v>105</v>
      </c>
      <c r="B7" s="28">
        <v>42611</v>
      </c>
      <c r="C7" s="16" t="s">
        <v>36</v>
      </c>
      <c r="D7" s="17">
        <v>20</v>
      </c>
      <c r="E7" s="18">
        <v>54</v>
      </c>
      <c r="F7" s="30">
        <f>Invoices[[#This Row],[Hours of Service Provided]]*Invoices[[#This Row],[Fee per hour]]</f>
        <v>1080</v>
      </c>
      <c r="G7" s="30">
        <f>IF(Invoices[[#This Row],[Hours of Service Provided]]&gt;10,Invoices[[#This Row],[Total]]*5%,0)</f>
        <v>54</v>
      </c>
      <c r="H7" s="31">
        <f>Invoices[[#This Row],[Total]]-Invoices[[#This Row],[Discount]]</f>
        <v>1026</v>
      </c>
    </row>
    <row r="8" spans="1:10" ht="21">
      <c r="A8" s="27">
        <f>A7+1</f>
        <v>106</v>
      </c>
      <c r="B8" s="28">
        <v>42614</v>
      </c>
      <c r="C8" s="16" t="s">
        <v>37</v>
      </c>
      <c r="D8" s="17">
        <v>9</v>
      </c>
      <c r="E8" s="18">
        <v>51</v>
      </c>
      <c r="F8" s="30">
        <f>Invoices[[#This Row],[Hours of Service Provided]]*Invoices[[#This Row],[Fee per hour]]</f>
        <v>459</v>
      </c>
      <c r="G8" s="30">
        <f>IF(Invoices[[#This Row],[Hours of Service Provided]]&gt;10,Invoices[[#This Row],[Total]]*5%,0)</f>
        <v>0</v>
      </c>
      <c r="H8" s="31">
        <f>Invoices[[#This Row],[Total]]-Invoices[[#This Row],[Discount]]</f>
        <v>459</v>
      </c>
    </row>
    <row r="9" spans="1:10" ht="21">
      <c r="A9" s="63">
        <f>A8+1</f>
        <v>107</v>
      </c>
      <c r="B9" s="64">
        <v>45938</v>
      </c>
      <c r="C9" s="16" t="s">
        <v>60</v>
      </c>
      <c r="D9" s="17">
        <v>2</v>
      </c>
      <c r="E9" s="18">
        <v>10</v>
      </c>
      <c r="F9" s="65">
        <f>Invoices[[#This Row],[Hours of Service Provided]]*Invoices[[#This Row],[Fee per hour]]</f>
        <v>20</v>
      </c>
      <c r="G9" s="65">
        <f>IF(Invoices[[#This Row],[Hours of Service Provided]]&gt;10,Invoices[[#This Row],[Total]]*5%,0)</f>
        <v>0</v>
      </c>
      <c r="H9" s="66">
        <f>Invoices[[#This Row],[Total]]-Invoices[[#This Row],[Discount]]</f>
        <v>20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/>
  </sheetPr>
  <dimension ref="A1:C16"/>
  <sheetViews>
    <sheetView workbookViewId="0">
      <selection activeCell="D28" sqref="D28"/>
    </sheetView>
  </sheetViews>
  <sheetFormatPr defaultRowHeight="14.4"/>
  <cols>
    <col min="1" max="3" width="18.88671875" customWidth="1"/>
  </cols>
  <sheetData>
    <row r="1" spans="1:3" ht="18">
      <c r="A1" s="8" t="s">
        <v>18</v>
      </c>
    </row>
    <row r="2" spans="1:3">
      <c r="A2" s="7" t="s">
        <v>27</v>
      </c>
      <c r="B2" t="str">
        <f>VLOOKUP($B$3,Invoices[],3,FALSE)</f>
        <v>Loil Pty Ldt</v>
      </c>
    </row>
    <row r="3" spans="1:3">
      <c r="A3" s="7" t="s">
        <v>23</v>
      </c>
      <c r="B3">
        <v>103</v>
      </c>
    </row>
    <row r="4" spans="1:3">
      <c r="A4" s="7" t="s">
        <v>24</v>
      </c>
      <c r="B4">
        <f>VLOOKUP($B$3,Invoices[],2,FALSE)</f>
        <v>42592</v>
      </c>
    </row>
    <row r="6" spans="1:3" ht="15.6">
      <c r="A6" s="12" t="s">
        <v>19</v>
      </c>
      <c r="B6" s="12" t="s">
        <v>20</v>
      </c>
      <c r="C6" s="12" t="s">
        <v>21</v>
      </c>
    </row>
    <row r="7" spans="1:3">
      <c r="A7" s="9">
        <f>VLOOKUP($B$3,Invoices[],4,FALSE)</f>
        <v>30</v>
      </c>
      <c r="B7" s="9">
        <f>VLOOKUP($B$3,Invoices[],5,FALSE)</f>
        <v>55</v>
      </c>
      <c r="C7" s="33">
        <f>VLOOKUP($B$3,Invoices[],6,FALSE)</f>
        <v>1650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1" t="s">
        <v>25</v>
      </c>
      <c r="B14" s="61"/>
      <c r="C14" s="11">
        <f>VLOOKUP($B$3,Invoices[],6,FALSE)</f>
        <v>1650</v>
      </c>
    </row>
    <row r="15" spans="1:3">
      <c r="A15" s="62" t="s">
        <v>44</v>
      </c>
      <c r="B15" s="62"/>
      <c r="C15" s="11">
        <f>VLOOKUP($B$3,Invoices[],7,FALSE)</f>
        <v>82.5</v>
      </c>
    </row>
    <row r="16" spans="1:3">
      <c r="A16" s="61" t="s">
        <v>26</v>
      </c>
      <c r="B16" s="61"/>
      <c r="C16" s="11">
        <f>VLOOKUP($B$3,Invoices[],8,FALSE)</f>
        <v>1567.5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6"/>
  <sheetViews>
    <sheetView workbookViewId="0"/>
  </sheetViews>
  <sheetFormatPr defaultRowHeight="14.4"/>
  <cols>
    <col min="1" max="3" width="18.88671875" customWidth="1"/>
  </cols>
  <sheetData>
    <row r="1" spans="1:3" ht="18">
      <c r="A1" s="8" t="s">
        <v>18</v>
      </c>
    </row>
    <row r="2" spans="1:3">
      <c r="A2" s="7" t="s">
        <v>27</v>
      </c>
      <c r="B2" t="str">
        <f>VLOOKUP($B$3,Invoices[],3,FALSE)</f>
        <v>Siroos Pty Ltd</v>
      </c>
    </row>
    <row r="3" spans="1:3">
      <c r="A3" s="7" t="s">
        <v>23</v>
      </c>
      <c r="B3">
        <v>105</v>
      </c>
    </row>
    <row r="4" spans="1:3">
      <c r="A4" s="7" t="s">
        <v>24</v>
      </c>
      <c r="B4">
        <f>VLOOKUP($B$3,Invoices[],2,FALSE)</f>
        <v>42611</v>
      </c>
    </row>
    <row r="6" spans="1:3" ht="15.6">
      <c r="A6" s="12" t="s">
        <v>19</v>
      </c>
      <c r="B6" s="12" t="s">
        <v>20</v>
      </c>
      <c r="C6" s="12" t="s">
        <v>21</v>
      </c>
    </row>
    <row r="7" spans="1:3">
      <c r="A7" s="9">
        <f>VLOOKUP($B$3,Invoices[],4,FALSE)</f>
        <v>20</v>
      </c>
      <c r="B7" s="9">
        <f>VLOOKUP($B$3,Invoices[],5,FALSE)</f>
        <v>54</v>
      </c>
      <c r="C7" s="33">
        <f>VLOOKUP($B$3,Invoices[],6,FALSE)</f>
        <v>1080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1" t="s">
        <v>25</v>
      </c>
      <c r="B14" s="61"/>
      <c r="C14" s="11">
        <f>VLOOKUP($B$3,Invoices[],6,FALSE)</f>
        <v>1080</v>
      </c>
    </row>
    <row r="15" spans="1:3">
      <c r="A15" s="62" t="s">
        <v>44</v>
      </c>
      <c r="B15" s="62"/>
      <c r="C15" s="11">
        <f>VLOOKUP($B$3,Invoices[],7,FALSE)</f>
        <v>54</v>
      </c>
    </row>
    <row r="16" spans="1:3">
      <c r="A16" s="61" t="s">
        <v>26</v>
      </c>
      <c r="B16" s="61"/>
      <c r="C16" s="11">
        <f>VLOOKUP($B$3,Invoices[],8,FALSE)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6"/>
  <sheetViews>
    <sheetView workbookViewId="0">
      <selection activeCell="I32" sqref="I32"/>
    </sheetView>
  </sheetViews>
  <sheetFormatPr defaultRowHeight="14.4"/>
  <cols>
    <col min="1" max="3" width="18.88671875" customWidth="1"/>
  </cols>
  <sheetData>
    <row r="1" spans="1:3" ht="18">
      <c r="A1" s="8" t="s">
        <v>18</v>
      </c>
    </row>
    <row r="2" spans="1:3">
      <c r="A2" s="7" t="s">
        <v>27</v>
      </c>
      <c r="B2" t="str">
        <f>VLOOKUP($B$3,Invoices[],3,FALSE)</f>
        <v>Behrooz Pty Ltd</v>
      </c>
    </row>
    <row r="3" spans="1:3">
      <c r="A3" s="7" t="s">
        <v>23</v>
      </c>
      <c r="B3">
        <v>106</v>
      </c>
    </row>
    <row r="4" spans="1:3">
      <c r="A4" s="7" t="s">
        <v>24</v>
      </c>
      <c r="B4">
        <f>VLOOKUP($B$3,Invoices[],2,FALSE)</f>
        <v>42614</v>
      </c>
    </row>
    <row r="6" spans="1:3" ht="15.6">
      <c r="A6" s="12" t="s">
        <v>19</v>
      </c>
      <c r="B6" s="12" t="s">
        <v>20</v>
      </c>
      <c r="C6" s="12" t="s">
        <v>21</v>
      </c>
    </row>
    <row r="7" spans="1:3">
      <c r="A7" s="9">
        <f>VLOOKUP($B$3,Invoices[],4,FALSE)</f>
        <v>9</v>
      </c>
      <c r="B7" s="9">
        <f>VLOOKUP($B$3,Invoices[],5,FALSE)</f>
        <v>51</v>
      </c>
      <c r="C7" s="33">
        <f>VLOOKUP($B$3,Invoices[],6,FALSE)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1" t="s">
        <v>25</v>
      </c>
      <c r="B14" s="61"/>
      <c r="C14" s="11">
        <f>VLOOKUP($B$3,Invoices[],6,FALSE)</f>
        <v>459</v>
      </c>
    </row>
    <row r="15" spans="1:3">
      <c r="A15" s="62" t="s">
        <v>44</v>
      </c>
      <c r="B15" s="62"/>
      <c r="C15" s="11">
        <f>VLOOKUP($B$3,Invoices[],7,FALSE)</f>
        <v>0</v>
      </c>
    </row>
    <row r="16" spans="1:3">
      <c r="A16" s="61" t="s">
        <v>26</v>
      </c>
      <c r="B16" s="61"/>
      <c r="C16" s="11">
        <f>VLOOKUP($B$3,Invoices[],8,FALSE)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Instructions </vt:lpstr>
      <vt:lpstr>Instruction</vt:lpstr>
      <vt:lpstr>Data Entry</vt:lpstr>
      <vt:lpstr>Table</vt:lpstr>
      <vt:lpstr>Invoice Template</vt:lpstr>
      <vt:lpstr>Invoice Example 1</vt:lpstr>
      <vt:lpstr>Invoice Example 2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Jaime Rodriguez de Ledesma Jimenez</cp:lastModifiedBy>
  <dcterms:created xsi:type="dcterms:W3CDTF">2016-08-30T01:18:10Z</dcterms:created>
  <dcterms:modified xsi:type="dcterms:W3CDTF">2025-10-08T16:22:07Z</dcterms:modified>
</cp:coreProperties>
</file>